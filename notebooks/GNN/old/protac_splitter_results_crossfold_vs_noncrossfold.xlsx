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sksamba.astrazeneca.net\cc\kallberg_knkn308\Code\PROTAC-Splitter\notebooks\GNN\"/>
    </mc:Choice>
  </mc:AlternateContent>
  <xr:revisionPtr revIDLastSave="0" documentId="13_ncr:1_{122600B4-E6C5-43F8-8315-1FBDF2B4637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tac_splitter_results (2)" sheetId="2" r:id="rId1"/>
    <sheet name="Sheet1" sheetId="3" r:id="rId2"/>
    <sheet name="protac_splitter_results" sheetId="1" r:id="rId3"/>
  </sheets>
  <definedNames>
    <definedName name="ExternalData_1" localSheetId="0" hidden="1">'protac_splitter_results (2)'!$A$1:$Z$10</definedName>
    <definedName name="ExternalData_1" localSheetId="1" hidden="1">Sheet1!$A$1:$Z$10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3" l="1"/>
  <c r="O8" i="3"/>
  <c r="O7" i="3"/>
  <c r="O6" i="3"/>
  <c r="O5" i="3"/>
  <c r="O6" i="2"/>
  <c r="O7" i="2"/>
  <c r="O8" i="2"/>
  <c r="O9" i="2"/>
  <c r="O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rotac_splitter_results" description="Connection to the 'protac_splitter_results' query in the workbook." type="5" refreshedVersion="8" background="1" saveData="1">
    <dbPr connection="Provider=Microsoft.Mashup.OleDb.1;Data Source=$Workbook$;Location=protac_splitter_results;Extended Properties=&quot;&quot;" command="SELECT * FROM [protac_splitter_results]"/>
  </connection>
  <connection id="2" xr16:uid="{2D49AC70-E9FC-42DD-864A-1023428D3386}" keepAlive="1" name="Query - protac_splitter_results (2)" description="Connection to the 'protac_splitter_results (2)' query in the workbook." type="5" refreshedVersion="8" background="1" saveData="1">
    <dbPr connection="Provider=Microsoft.Mashup.OleDb.1;Data Source=$Workbook$;Location=&quot;protac_splitter_results (2)&quot;;Extended Properties=&quot;&quot;" command="SELECT * FROM [protac_splitter_results (2)]"/>
  </connection>
</connections>
</file>

<file path=xl/sharedStrings.xml><?xml version="1.0" encoding="utf-8"?>
<sst xmlns="http://schemas.openxmlformats.org/spreadsheetml/2006/main" count="208" uniqueCount="58">
  <si>
    <t>date,model_type,comment,graph_descriptors,val_acc,train_acc,test_protac_acc,test_poi_acc,test_linker_acc,test_e3_acc,random_pred_acc,val_loss,train_loss,epochs,training_time (min),min/epoch,num_of_parameters,num_train_protacs,num_train_nodes,gnn_layer_type,output_layer_type,num_layers,layer_dims,learning_rate,batch,criterion_reduction,activationfunction</t>
  </si>
  <si>
    <t>2024/02/27 15:26:45,node_pred_graph,-,[],0.985916963792872,0.9856685640960602,0.504284041176108,0.8894483830934482,0.9343366093366092,0.6280994114176345,0.3333333333333333,0.0393337887469976,0.0399959309318919,47,42.87966666666667,0.9123333333333334,297219,3720,268082,GraphConv,gnn,10,"[128, 128, 128, 128, 128, 128, 128, 128, 128, 128]",0.000426,1,sum,relu</t>
  </si>
  <si>
    <t>2024/02/27 16:15:55,node_pred_graph,-,[],0.9856335128522624,0.9852134794577778,0.5020649694877642,0.8986633952897879,0.9321253071253072,0.6179970930650894,0.3333333333333333,0.0387417975004139,0.0395445760662691,43,38.958,0.906,297219,3720,268082,GraphConv,gnn,10,"[128, 128, 128, 128, 128, 128, 128, 128, 128, 128]",0.000426,1,sum,relu</t>
  </si>
  <si>
    <t>2024/02/27 17:12:04,node_pred,-,[],0.9934507914248633,0.9924836430644356,0.5102015656783578,0.91737871417771,0.8844594594594595,0.6641914547626243,0.3333333333333333,0.0184596218271454,0.0206167253738381,39,19.734,0.506,42883,3720,268082,GraphConv,gnn,6,"[64, 64, 64, 64, 64, 64]",0.000426,1,sum,relu</t>
  </si>
  <si>
    <t>2024/02/29 08:49:35,node_pred,Crossfold_0,[],0.9915235465245064,0.9910507262636687,0.5368920668187142,0.9104032637690256,0.8871621621621621,0.6924693116896199,0.3333333333333333,0.02383509927718,0.0255784730864887,23,61.16466666666667,2.659333333333333,42883,3720,267396,GraphConv,gnn,6,"[64, 64, 64, 64, 64, 64]",0.000563,1,sum,relu</t>
  </si>
  <si>
    <t>2024/02/29 08:49:35,node_pred,Crossfold_1,[],0.991834236493648,0.9909706630464782,0.5169204216236208,0.916337389270074,0.8928746928746929,0.6615579444228583,0.3333333333333333,0.0229800627305271,0.0248568425626477,24,63.824,2.659333333333333,42883,3720,268126,GraphConv,gnn,6,"[64, 64, 64, 64, 64, 64]",0.000563,1,sum,relu</t>
  </si>
  <si>
    <t>2024/02/29 08:49:35,node_pred,Crossfold_2,[],0.9884929361086844,0.9902909730982924,0.5308512605560007,0.9171362138567536,0.8806511056511056,0.6805393659428111,0.3333333333333333,0.0329775090161173,0.0261400413299104,20,53.18666666666667,2.659333333333333,42883,3720,268719,GraphConv,gnn,6,"[64, 64, 64, 64, 64, 64]",0.000563,1,sum,relu</t>
  </si>
  <si>
    <t>2024/02/29 08:49:35,node_pred,Crossfold_3,[],0.9911032293638138,0.9905339353009216,0.5092153115946496,0.9138410624367004,0.8904791154791155,0.6565787390810056,0.3333333333333333,0.0241448948224601,0.0263870738710856,25,66.48333333333333,2.659333333333333,42883,3720,268010,GraphConv,gnn,6,"[64, 64, 64, 64, 64, 64]",0.000563,1,sum,relu</t>
  </si>
  <si>
    <t>2024/02/29 08:49:35,node_pred,Crossfold_4,[],0.9916905786704926,0.9897986957543036,0.5065031128644517,0.9183629801862973,0.8860565110565111,0.6530242196606657,0.3333333333333333,0.0224556179301099,0.0305031093370758,25,66.48333333333333,2.659333333333333,42883,3720,268201,GraphConv,gnn,6,"[64, 64, 64, 64, 64, 64]",0.000563,1,sum,relu</t>
  </si>
  <si>
    <t>2024/02/29 10:17:38,node_pred,Non-Crossfold,[],0.9912428577822202,0.9895628949351318,0.5254885039758368,0.9246109296321128,0.882002457002457,0.6687821093986098,0.3333333333333333,0.024298757537430882,0.029477980019550182,20,10.386666666666665,0.5193333333333332,42883,3720,268082,GraphConv,gnn,6,"[64, 64, 64, 64, 64, 64]",0.000563,1,sum,relu</t>
  </si>
  <si>
    <t>model_type</t>
  </si>
  <si>
    <t>comment</t>
  </si>
  <si>
    <t>val_acc</t>
  </si>
  <si>
    <t>train_acc</t>
  </si>
  <si>
    <t>test_protac_acc</t>
  </si>
  <si>
    <t>test_poi_acc</t>
  </si>
  <si>
    <t>test_linker_acc</t>
  </si>
  <si>
    <t>test_e3_acc</t>
  </si>
  <si>
    <t>random_pred_acc</t>
  </si>
  <si>
    <t>val_loss</t>
  </si>
  <si>
    <t>train_loss</t>
  </si>
  <si>
    <t>epochs</t>
  </si>
  <si>
    <t>training_time (min)</t>
  </si>
  <si>
    <t>min/epoch</t>
  </si>
  <si>
    <t>num_of_parameters</t>
  </si>
  <si>
    <t>num_train_protacs</t>
  </si>
  <si>
    <t>num_train_nodes</t>
  </si>
  <si>
    <t>gnn_layer_type</t>
  </si>
  <si>
    <t>output_layer_type</t>
  </si>
  <si>
    <t>num_layers</t>
  </si>
  <si>
    <t>layer_dims</t>
  </si>
  <si>
    <t>learning_rate</t>
  </si>
  <si>
    <t>batch</t>
  </si>
  <si>
    <t>criterion_reduction</t>
  </si>
  <si>
    <t>activationfunction</t>
  </si>
  <si>
    <t>node_pred_graph</t>
  </si>
  <si>
    <t>-</t>
  </si>
  <si>
    <t>GraphConv</t>
  </si>
  <si>
    <t>gnn</t>
  </si>
  <si>
    <t>[128, 128, 128, 128, 128, 128, 128, 128, 128, 128]</t>
  </si>
  <si>
    <t>sum</t>
  </si>
  <si>
    <t>relu</t>
  </si>
  <si>
    <t>node_pred</t>
  </si>
  <si>
    <t>[64, 64, 64, 64, 64, 64]</t>
  </si>
  <si>
    <t>Crossfold_0</t>
  </si>
  <si>
    <t>Crossfold_1</t>
  </si>
  <si>
    <t>Crossfold_2</t>
  </si>
  <si>
    <t>Crossfold_3</t>
  </si>
  <si>
    <t>Crossfold_4</t>
  </si>
  <si>
    <t>Non-Crossfold</t>
  </si>
  <si>
    <t>Column1</t>
  </si>
  <si>
    <t>2xTraining</t>
  </si>
  <si>
    <t>22.128</t>
  </si>
  <si>
    <t>0.922</t>
  </si>
  <si>
    <t>0.000563</t>
  </si>
  <si>
    <t>5xTraining</t>
  </si>
  <si>
    <t>28.342222222222222</t>
  </si>
  <si>
    <t>2.0244444444444443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</si>
</sst>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Crossfolds</a:t>
            </a:r>
            <a:r>
              <a:rPr lang="en-GB" baseline="0"/>
              <a:t> &amp;  Non-Crossfold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'protac_splitter_results (2)'!$C$2:$C$2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(2)'!$D$2:$H$2</c:f>
            </c:numRef>
          </c:val>
          <c:extLst>
            <c:ext xmlns:c16="http://schemas.microsoft.com/office/drawing/2014/chart" uri="{C3380CC4-5D6E-409C-BE32-E72D297353CC}">
              <c16:uniqueId val="{00000000-FEBA-4B53-9E1F-EEA1C06B229B}"/>
            </c:ext>
          </c:extLst>
        </c:ser>
        <c:ser>
          <c:idx val="1"/>
          <c:order val="1"/>
          <c:tx>
            <c:strRef>
              <c:f>'protac_splitter_results (2)'!$C$3:$C$3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(2)'!$D$3:$H$3</c:f>
            </c:numRef>
          </c:val>
          <c:extLst>
            <c:ext xmlns:c16="http://schemas.microsoft.com/office/drawing/2014/chart" uri="{C3380CC4-5D6E-409C-BE32-E72D297353CC}">
              <c16:uniqueId val="{00000001-FEBA-4B53-9E1F-EEA1C06B229B}"/>
            </c:ext>
          </c:extLst>
        </c:ser>
        <c:ser>
          <c:idx val="2"/>
          <c:order val="2"/>
          <c:tx>
            <c:strRef>
              <c:f>'protac_splitter_results (2)'!$C$4:$C$4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(2)'!$D$4:$H$4</c:f>
            </c:numRef>
          </c:val>
          <c:extLst>
            <c:ext xmlns:c16="http://schemas.microsoft.com/office/drawing/2014/chart" uri="{C3380CC4-5D6E-409C-BE32-E72D297353CC}">
              <c16:uniqueId val="{00000002-FEBA-4B53-9E1F-EEA1C06B229B}"/>
            </c:ext>
          </c:extLst>
        </c:ser>
        <c:ser>
          <c:idx val="3"/>
          <c:order val="3"/>
          <c:tx>
            <c:strRef>
              <c:f>'protac_splitter_results (2)'!$C$5:$C$5</c:f>
              <c:strCache>
                <c:ptCount val="1"/>
                <c:pt idx="0">
                  <c:v>Crossfold_0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(2)'!$D$5:$H$5</c:f>
              <c:numCache>
                <c:formatCode>0.0000</c:formatCode>
                <c:ptCount val="5"/>
                <c:pt idx="0">
                  <c:v>0.99152354652450603</c:v>
                </c:pt>
                <c:pt idx="1">
                  <c:v>0.99105072626366797</c:v>
                </c:pt>
                <c:pt idx="2">
                  <c:v>0.53689206681871404</c:v>
                </c:pt>
                <c:pt idx="3">
                  <c:v>0.91040326376902503</c:v>
                </c:pt>
                <c:pt idx="4">
                  <c:v>0.88716216216216204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BA-4B53-9E1F-EEA1C06B229B}"/>
            </c:ext>
          </c:extLst>
        </c:ser>
        <c:ser>
          <c:idx val="4"/>
          <c:order val="4"/>
          <c:tx>
            <c:strRef>
              <c:f>'protac_splitter_results (2)'!$C$6:$C$6</c:f>
              <c:strCache>
                <c:ptCount val="1"/>
                <c:pt idx="0">
                  <c:v>Crossfold_1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(2)'!$D$6:$H$6</c:f>
              <c:numCache>
                <c:formatCode>0.0000</c:formatCode>
                <c:ptCount val="5"/>
                <c:pt idx="0">
                  <c:v>0.99183423649364799</c:v>
                </c:pt>
                <c:pt idx="1">
                  <c:v>0.99097066304647796</c:v>
                </c:pt>
                <c:pt idx="2">
                  <c:v>0.51692042162361995</c:v>
                </c:pt>
                <c:pt idx="3">
                  <c:v>0.91633738927007402</c:v>
                </c:pt>
                <c:pt idx="4">
                  <c:v>0.89287469287469201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BA-4B53-9E1F-EEA1C06B229B}"/>
            </c:ext>
          </c:extLst>
        </c:ser>
        <c:ser>
          <c:idx val="5"/>
          <c:order val="5"/>
          <c:tx>
            <c:strRef>
              <c:f>'protac_splitter_results (2)'!$C$7:$C$7</c:f>
              <c:strCache>
                <c:ptCount val="1"/>
                <c:pt idx="0">
                  <c:v>Crossfold_2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(2)'!$D$7:$H$7</c:f>
              <c:numCache>
                <c:formatCode>0.0000</c:formatCode>
                <c:ptCount val="5"/>
                <c:pt idx="0">
                  <c:v>0.98849293610868405</c:v>
                </c:pt>
                <c:pt idx="1">
                  <c:v>0.99029097309829195</c:v>
                </c:pt>
                <c:pt idx="2">
                  <c:v>0.53085126055599996</c:v>
                </c:pt>
                <c:pt idx="3">
                  <c:v>0.91713621385675304</c:v>
                </c:pt>
                <c:pt idx="4">
                  <c:v>0.88065110565110505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BA-4B53-9E1F-EEA1C06B229B}"/>
            </c:ext>
          </c:extLst>
        </c:ser>
        <c:ser>
          <c:idx val="6"/>
          <c:order val="6"/>
          <c:tx>
            <c:strRef>
              <c:f>'protac_splitter_results (2)'!$C$8:$C$8</c:f>
              <c:strCache>
                <c:ptCount val="1"/>
                <c:pt idx="0">
                  <c:v>Crossfold_3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(2)'!$D$8:$H$8</c:f>
              <c:numCache>
                <c:formatCode>0.0000</c:formatCode>
                <c:ptCount val="5"/>
                <c:pt idx="0">
                  <c:v>0.99110322936381301</c:v>
                </c:pt>
                <c:pt idx="1">
                  <c:v>0.99053393530092104</c:v>
                </c:pt>
                <c:pt idx="2">
                  <c:v>0.50921531159464895</c:v>
                </c:pt>
                <c:pt idx="3">
                  <c:v>0.91384106243670005</c:v>
                </c:pt>
                <c:pt idx="4">
                  <c:v>0.89047911547911496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BA-4B53-9E1F-EEA1C06B229B}"/>
            </c:ext>
          </c:extLst>
        </c:ser>
        <c:ser>
          <c:idx val="7"/>
          <c:order val="7"/>
          <c:tx>
            <c:strRef>
              <c:f>'protac_splitter_results (2)'!$C$9:$C$9</c:f>
              <c:strCache>
                <c:ptCount val="1"/>
                <c:pt idx="0">
                  <c:v>Crossfold_4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(2)'!$D$9:$H$9</c:f>
              <c:numCache>
                <c:formatCode>0.0000</c:formatCode>
                <c:ptCount val="5"/>
                <c:pt idx="0">
                  <c:v>0.99169057867049204</c:v>
                </c:pt>
                <c:pt idx="1">
                  <c:v>0.98979869575430302</c:v>
                </c:pt>
                <c:pt idx="2">
                  <c:v>0.50650311286445104</c:v>
                </c:pt>
                <c:pt idx="3">
                  <c:v>0.91836298018629703</c:v>
                </c:pt>
                <c:pt idx="4">
                  <c:v>0.88605651105651095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BA-4B53-9E1F-EEA1C06B229B}"/>
            </c:ext>
          </c:extLst>
        </c:ser>
        <c:ser>
          <c:idx val="8"/>
          <c:order val="8"/>
          <c:tx>
            <c:strRef>
              <c:f>'protac_splitter_results (2)'!$C$10:$C$10</c:f>
              <c:strCache>
                <c:ptCount val="1"/>
                <c:pt idx="0">
                  <c:v>Non-Crossfold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'protac_splitter_results (2)'!$D$1:$H$1</c:f>
              <c:strCache>
                <c:ptCount val="5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</c:strCache>
            </c:strRef>
          </c:cat>
          <c:val>
            <c:numRef>
              <c:f>'protac_splitter_results (2)'!$D$10:$H$10</c:f>
              <c:numCache>
                <c:formatCode>0.0000</c:formatCode>
                <c:ptCount val="5"/>
                <c:pt idx="0">
                  <c:v>0.99124285778221999</c:v>
                </c:pt>
                <c:pt idx="1">
                  <c:v>0.98956289493513105</c:v>
                </c:pt>
                <c:pt idx="2">
                  <c:v>0.52548850397583602</c:v>
                </c:pt>
                <c:pt idx="3">
                  <c:v>0.924610929632112</c:v>
                </c:pt>
                <c:pt idx="4">
                  <c:v>0.88200245700245705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BA-4B53-9E1F-EEA1C06B2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910495"/>
        <c:axId val="43877247"/>
      </c:barChart>
      <c:catAx>
        <c:axId val="14529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3877247"/>
        <c:crosses val="autoZero"/>
        <c:auto val="1"/>
        <c:lblAlgn val="ctr"/>
        <c:lblOffset val="100"/>
        <c:noMultiLvlLbl val="0"/>
      </c:catAx>
      <c:valAx>
        <c:axId val="43877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529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Vary training dataset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Sheet1!$D$1:$J$1</c:f>
              <c:strCache>
                <c:ptCount val="7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  <c:pt idx="5">
                  <c:v>test_e3_acc</c:v>
                </c:pt>
                <c:pt idx="6">
                  <c:v>random_pred_acc</c:v>
                </c:pt>
              </c:strCache>
            </c:strRef>
          </c:cat>
          <c:val>
            <c:numRef>
              <c:f>Sheet1!$D$2:$J$2</c:f>
            </c:numRef>
          </c:val>
          <c:extLst>
            <c:ext xmlns:c16="http://schemas.microsoft.com/office/drawing/2014/chart" uri="{C3380CC4-5D6E-409C-BE32-E72D297353CC}">
              <c16:uniqueId val="{00000000-48D8-431E-A2F4-2D3059C4556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Sheet1!$D$1:$J$1</c:f>
              <c:strCache>
                <c:ptCount val="7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  <c:pt idx="5">
                  <c:v>test_e3_acc</c:v>
                </c:pt>
                <c:pt idx="6">
                  <c:v>random_pred_acc</c:v>
                </c:pt>
              </c:strCache>
            </c:strRef>
          </c:cat>
          <c:val>
            <c:numRef>
              <c:f>Sheet1!$D$3:$J$3</c:f>
            </c:numRef>
          </c:val>
          <c:extLst>
            <c:ext xmlns:c16="http://schemas.microsoft.com/office/drawing/2014/chart" uri="{C3380CC4-5D6E-409C-BE32-E72D297353CC}">
              <c16:uniqueId val="{00000001-48D8-431E-A2F4-2D3059C45562}"/>
            </c:ext>
          </c:extLst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Sheet1!$D$1:$J$1</c:f>
              <c:strCache>
                <c:ptCount val="7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  <c:pt idx="5">
                  <c:v>test_e3_acc</c:v>
                </c:pt>
                <c:pt idx="6">
                  <c:v>random_pred_acc</c:v>
                </c:pt>
              </c:strCache>
            </c:strRef>
          </c:cat>
          <c:val>
            <c:numRef>
              <c:f>Sheet1!$D$4:$J$4</c:f>
            </c:numRef>
          </c:val>
          <c:extLst>
            <c:ext xmlns:c16="http://schemas.microsoft.com/office/drawing/2014/chart" uri="{C3380CC4-5D6E-409C-BE32-E72D297353CC}">
              <c16:uniqueId val="{00000002-48D8-431E-A2F4-2D3059C45562}"/>
            </c:ext>
          </c:extLst>
        </c:ser>
        <c:ser>
          <c:idx val="8"/>
          <c:order val="8"/>
          <c:tx>
            <c:strRef>
              <c:f>Sheet1!$C$10</c:f>
              <c:strCache>
                <c:ptCount val="1"/>
                <c:pt idx="0">
                  <c:v>Non-Crossfold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Sheet1!$D$1:$J$1</c:f>
              <c:strCache>
                <c:ptCount val="7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  <c:pt idx="5">
                  <c:v>test_e3_acc</c:v>
                </c:pt>
                <c:pt idx="6">
                  <c:v>random_pred_acc</c:v>
                </c:pt>
              </c:strCache>
            </c:strRef>
          </c:cat>
          <c:val>
            <c:numRef>
              <c:f>Sheet1!$D$10:$J$10</c:f>
              <c:numCache>
                <c:formatCode>0.0000</c:formatCode>
                <c:ptCount val="7"/>
                <c:pt idx="0">
                  <c:v>0.99124285778221999</c:v>
                </c:pt>
                <c:pt idx="1">
                  <c:v>0.98956289493513105</c:v>
                </c:pt>
                <c:pt idx="2">
                  <c:v>0.52548850397583602</c:v>
                </c:pt>
                <c:pt idx="3">
                  <c:v>0.924610929632112</c:v>
                </c:pt>
                <c:pt idx="4">
                  <c:v>0.88200245700245705</c:v>
                </c:pt>
                <c:pt idx="5">
                  <c:v>0.66878210939860905</c:v>
                </c:pt>
                <c:pt idx="6">
                  <c:v>0.33333333333333298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D8-431E-A2F4-2D3059C45562}"/>
            </c:ext>
          </c:extLst>
        </c:ser>
        <c:ser>
          <c:idx val="9"/>
          <c:order val="9"/>
          <c:tx>
            <c:strRef>
              <c:f>Sheet1!$C$11</c:f>
              <c:strCache>
                <c:ptCount val="1"/>
                <c:pt idx="0">
                  <c:v>2xTraining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Sheet1!$D$1:$J$1</c:f>
              <c:strCache>
                <c:ptCount val="7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  <c:pt idx="5">
                  <c:v>test_e3_acc</c:v>
                </c:pt>
                <c:pt idx="6">
                  <c:v>random_pred_acc</c:v>
                </c:pt>
              </c:strCache>
            </c:strRef>
          </c:cat>
          <c:val>
            <c:numRef>
              <c:f>Sheet1!$D$11:$J$11</c:f>
              <c:numCache>
                <c:formatCode>0.0000</c:formatCode>
                <c:ptCount val="7"/>
                <c:pt idx="0">
                  <c:v>0.99271401191710196</c:v>
                </c:pt>
                <c:pt idx="1">
                  <c:v>0.992642574595341</c:v>
                </c:pt>
                <c:pt idx="2">
                  <c:v>0.51396165937249505</c:v>
                </c:pt>
                <c:pt idx="3">
                  <c:v>0.90790693693565105</c:v>
                </c:pt>
                <c:pt idx="4">
                  <c:v>0.90429975429975396</c:v>
                </c:pt>
                <c:pt idx="5">
                  <c:v>0.66036351077148903</c:v>
                </c:pt>
                <c:pt idx="6">
                  <c:v>0.33333333333333298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D8-431E-A2F4-2D3059C45562}"/>
            </c:ext>
          </c:extLst>
        </c:ser>
        <c:ser>
          <c:idx val="10"/>
          <c:order val="10"/>
          <c:tx>
            <c:strRef>
              <c:f>Sheet1!$C$12</c:f>
              <c:strCache>
                <c:ptCount val="1"/>
                <c:pt idx="0">
                  <c:v>5xTraining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Sheet1!$D$1:$J$1</c:f>
              <c:strCache>
                <c:ptCount val="7"/>
                <c:pt idx="0">
                  <c:v>val_acc</c:v>
                </c:pt>
                <c:pt idx="1">
                  <c:v>train_acc</c:v>
                </c:pt>
                <c:pt idx="2">
                  <c:v>test_protac_acc</c:v>
                </c:pt>
                <c:pt idx="3">
                  <c:v>test_poi_acc</c:v>
                </c:pt>
                <c:pt idx="4">
                  <c:v>test_linker_acc</c:v>
                </c:pt>
                <c:pt idx="5">
                  <c:v>test_e3_acc</c:v>
                </c:pt>
                <c:pt idx="6">
                  <c:v>random_pred_acc</c:v>
                </c:pt>
              </c:strCache>
            </c:strRef>
          </c:cat>
          <c:val>
            <c:numRef>
              <c:f>Sheet1!$D$12:$J$12</c:f>
              <c:numCache>
                <c:formatCode>0.0000</c:formatCode>
                <c:ptCount val="7"/>
                <c:pt idx="0">
                  <c:v>0.99429081337256797</c:v>
                </c:pt>
                <c:pt idx="1">
                  <c:v>0.99350451199904499</c:v>
                </c:pt>
                <c:pt idx="2">
                  <c:v>0.49787338963200301</c:v>
                </c:pt>
                <c:pt idx="3">
                  <c:v>0.92501034192545195</c:v>
                </c:pt>
                <c:pt idx="4">
                  <c:v>0.88826781326781301</c:v>
                </c:pt>
                <c:pt idx="5">
                  <c:v>0.63896444041502898</c:v>
                </c:pt>
                <c:pt idx="6">
                  <c:v>0.33333333333333298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D8-431E-A2F4-2D3059C4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910495"/>
        <c:axId val="4387724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Crossfold_0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Sheet1!$D$1:$J$1</c15:sqref>
                        </c15:formulaRef>
                      </c:ext>
                    </c:extLst>
                    <c:strCache>
                      <c:ptCount val="7"/>
                      <c:pt idx="0">
                        <c:v>val_acc</c:v>
                      </c:pt>
                      <c:pt idx="1">
                        <c:v>train_acc</c:v>
                      </c:pt>
                      <c:pt idx="2">
                        <c:v>test_protac_acc</c:v>
                      </c:pt>
                      <c:pt idx="3">
                        <c:v>test_poi_acc</c:v>
                      </c:pt>
                      <c:pt idx="4">
                        <c:v>test_linker_acc</c:v>
                      </c:pt>
                      <c:pt idx="5">
                        <c:v>test_e3_acc</c:v>
                      </c:pt>
                      <c:pt idx="6">
                        <c:v>random_pred_acc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Sheet1!$D$5:$J$5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0.99152354652450603</c:v>
                      </c:pt>
                      <c:pt idx="1">
                        <c:v>0.99105072626366797</c:v>
                      </c:pt>
                      <c:pt idx="2">
                        <c:v>0.53689206681871404</c:v>
                      </c:pt>
                      <c:pt idx="3">
                        <c:v>0.91040326376902503</c:v>
                      </c:pt>
                      <c:pt idx="4">
                        <c:v>0.88716216216216204</c:v>
                      </c:pt>
                      <c:pt idx="5">
                        <c:v>0.692469311689619</c:v>
                      </c:pt>
                      <c:pt idx="6">
                        <c:v>0.33333333333333298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8D8-431E-A2F4-2D3059C455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Sheet1!$C$6</c15:sqref>
                        </c15:formulaRef>
                      </c:ext>
                    </c:extLst>
                    <c:strCache>
                      <c:ptCount val="1"/>
                      <c:pt idx="0">
                        <c:v>Crossfold_1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Sheet1!$D$1:$J$1</c15:sqref>
                        </c15:formulaRef>
                      </c:ext>
                    </c:extLst>
                    <c:strCache>
                      <c:ptCount val="7"/>
                      <c:pt idx="0">
                        <c:v>val_acc</c:v>
                      </c:pt>
                      <c:pt idx="1">
                        <c:v>train_acc</c:v>
                      </c:pt>
                      <c:pt idx="2">
                        <c:v>test_protac_acc</c:v>
                      </c:pt>
                      <c:pt idx="3">
                        <c:v>test_poi_acc</c:v>
                      </c:pt>
                      <c:pt idx="4">
                        <c:v>test_linker_acc</c:v>
                      </c:pt>
                      <c:pt idx="5">
                        <c:v>test_e3_acc</c:v>
                      </c:pt>
                      <c:pt idx="6">
                        <c:v>random_pred_acc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Sheet1!$D$6:$J$6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0.99183423649364799</c:v>
                      </c:pt>
                      <c:pt idx="1">
                        <c:v>0.99097066304647796</c:v>
                      </c:pt>
                      <c:pt idx="2">
                        <c:v>0.51692042162361995</c:v>
                      </c:pt>
                      <c:pt idx="3">
                        <c:v>0.91633738927007402</c:v>
                      </c:pt>
                      <c:pt idx="4">
                        <c:v>0.89287469287469201</c:v>
                      </c:pt>
                      <c:pt idx="5">
                        <c:v>0.66155794442285798</c:v>
                      </c:pt>
                      <c:pt idx="6">
                        <c:v>0.33333333333333298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8D8-431E-A2F4-2D3059C455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Sheet1!$C$7</c15:sqref>
                        </c15:formulaRef>
                      </c:ext>
                    </c:extLst>
                    <c:strCache>
                      <c:ptCount val="1"/>
                      <c:pt idx="0">
                        <c:v>Crossfold_2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Sheet1!$D$1:$J$1</c15:sqref>
                        </c15:formulaRef>
                      </c:ext>
                    </c:extLst>
                    <c:strCache>
                      <c:ptCount val="7"/>
                      <c:pt idx="0">
                        <c:v>val_acc</c:v>
                      </c:pt>
                      <c:pt idx="1">
                        <c:v>train_acc</c:v>
                      </c:pt>
                      <c:pt idx="2">
                        <c:v>test_protac_acc</c:v>
                      </c:pt>
                      <c:pt idx="3">
                        <c:v>test_poi_acc</c:v>
                      </c:pt>
                      <c:pt idx="4">
                        <c:v>test_linker_acc</c:v>
                      </c:pt>
                      <c:pt idx="5">
                        <c:v>test_e3_acc</c:v>
                      </c:pt>
                      <c:pt idx="6">
                        <c:v>random_pred_acc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Sheet1!$D$7:$J$7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0.98849293610868405</c:v>
                      </c:pt>
                      <c:pt idx="1">
                        <c:v>0.99029097309829195</c:v>
                      </c:pt>
                      <c:pt idx="2">
                        <c:v>0.53085126055599996</c:v>
                      </c:pt>
                      <c:pt idx="3">
                        <c:v>0.91713621385675304</c:v>
                      </c:pt>
                      <c:pt idx="4">
                        <c:v>0.88065110565110505</c:v>
                      </c:pt>
                      <c:pt idx="5">
                        <c:v>0.68053936594281095</c:v>
                      </c:pt>
                      <c:pt idx="6">
                        <c:v>0.33333333333333298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8D8-431E-A2F4-2D3059C4556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Sheet1!$C$8</c15:sqref>
                        </c15:formulaRef>
                      </c:ext>
                    </c:extLst>
                    <c:strCache>
                      <c:ptCount val="1"/>
                      <c:pt idx="0">
                        <c:v>Crossfold_3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Sheet1!$D$1:$J$1</c15:sqref>
                        </c15:formulaRef>
                      </c:ext>
                    </c:extLst>
                    <c:strCache>
                      <c:ptCount val="7"/>
                      <c:pt idx="0">
                        <c:v>val_acc</c:v>
                      </c:pt>
                      <c:pt idx="1">
                        <c:v>train_acc</c:v>
                      </c:pt>
                      <c:pt idx="2">
                        <c:v>test_protac_acc</c:v>
                      </c:pt>
                      <c:pt idx="3">
                        <c:v>test_poi_acc</c:v>
                      </c:pt>
                      <c:pt idx="4">
                        <c:v>test_linker_acc</c:v>
                      </c:pt>
                      <c:pt idx="5">
                        <c:v>test_e3_acc</c:v>
                      </c:pt>
                      <c:pt idx="6">
                        <c:v>random_pred_acc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Sheet1!$D$8:$J$8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0.99110322936381301</c:v>
                      </c:pt>
                      <c:pt idx="1">
                        <c:v>0.99053393530092104</c:v>
                      </c:pt>
                      <c:pt idx="2">
                        <c:v>0.50921531159464895</c:v>
                      </c:pt>
                      <c:pt idx="3">
                        <c:v>0.91384106243670005</c:v>
                      </c:pt>
                      <c:pt idx="4">
                        <c:v>0.89047911547911496</c:v>
                      </c:pt>
                      <c:pt idx="5">
                        <c:v>0.65657873908100495</c:v>
                      </c:pt>
                      <c:pt idx="6">
                        <c:v>0.33333333333333298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8D8-431E-A2F4-2D3059C4556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Sheet1!$C$9</c15:sqref>
                        </c15:formulaRef>
                      </c:ext>
                    </c:extLst>
                    <c:strCache>
                      <c:ptCount val="1"/>
                      <c:pt idx="0">
                        <c:v>Crossfold_4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Sheet1!$D$1:$J$1</c15:sqref>
                        </c15:formulaRef>
                      </c:ext>
                    </c:extLst>
                    <c:strCache>
                      <c:ptCount val="7"/>
                      <c:pt idx="0">
                        <c:v>val_acc</c:v>
                      </c:pt>
                      <c:pt idx="1">
                        <c:v>train_acc</c:v>
                      </c:pt>
                      <c:pt idx="2">
                        <c:v>test_protac_acc</c:v>
                      </c:pt>
                      <c:pt idx="3">
                        <c:v>test_poi_acc</c:v>
                      </c:pt>
                      <c:pt idx="4">
                        <c:v>test_linker_acc</c:v>
                      </c:pt>
                      <c:pt idx="5">
                        <c:v>test_e3_acc</c:v>
                      </c:pt>
                      <c:pt idx="6">
                        <c:v>random_pred_acc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Sheet1!$D$9:$J$9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0.99169057867049204</c:v>
                      </c:pt>
                      <c:pt idx="1">
                        <c:v>0.98979869575430302</c:v>
                      </c:pt>
                      <c:pt idx="2">
                        <c:v>0.50650311286445104</c:v>
                      </c:pt>
                      <c:pt idx="3">
                        <c:v>0.91836298018629703</c:v>
                      </c:pt>
                      <c:pt idx="4">
                        <c:v>0.88605651105651095</c:v>
                      </c:pt>
                      <c:pt idx="5">
                        <c:v>0.65302421966066504</c:v>
                      </c:pt>
                      <c:pt idx="6">
                        <c:v>0.33333333333333298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8D8-431E-A2F4-2D3059C45562}"/>
                  </c:ext>
                </c:extLst>
              </c15:ser>
            </c15:filteredBarSeries>
          </c:ext>
        </c:extLst>
      </c:barChart>
      <c:catAx>
        <c:axId val="145291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3877247"/>
        <c:crosses val="autoZero"/>
        <c:auto val="1"/>
        <c:lblAlgn val="ctr"/>
        <c:lblOffset val="100"/>
        <c:noMultiLvlLbl val="0"/>
      </c:catAx>
      <c:valAx>
        <c:axId val="43877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529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11</xdr:row>
      <xdr:rowOff>38100</xdr:rowOff>
    </xdr:from>
    <xdr:to>
      <xdr:col>6</xdr:col>
      <xdr:colOff>457200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9CA64-759B-CBC6-5BA6-1F8AB5737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14</xdr:row>
      <xdr:rowOff>186690</xdr:rowOff>
    </xdr:from>
    <xdr:to>
      <xdr:col>8</xdr:col>
      <xdr:colOff>0</xdr:colOff>
      <xdr:row>36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85E91-CA5E-4190-91B4-BF4FE3C51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28">
    <queryTableFields count="26">
      <queryTableField id="1" name="date" tableColumnId="1"/>
      <queryTableField id="2" name="model_type" tableColumnId="2"/>
      <queryTableField id="3" name="comment" tableColumnId="3"/>
      <queryTableField id="5" name="val_acc" tableColumnId="5"/>
      <queryTableField id="6" name="train_acc" tableColumnId="6"/>
      <queryTableField id="7" name="test_protac_acc" tableColumnId="7"/>
      <queryTableField id="8" name="test_poi_acc" tableColumnId="8"/>
      <queryTableField id="9" name="test_linker_acc" tableColumnId="9"/>
      <queryTableField id="10" name="test_e3_acc" tableColumnId="10"/>
      <queryTableField id="11" name="random_pred_acc" tableColumnId="11"/>
      <queryTableField id="12" name="val_loss" tableColumnId="12"/>
      <queryTableField id="13" name="train_loss" tableColumnId="13"/>
      <queryTableField id="14" name="epochs" tableColumnId="14"/>
      <queryTableField id="15" name="training_time (min)" tableColumnId="15"/>
      <queryTableField id="16" name="min/epoch" tableColumnId="16"/>
      <queryTableField id="17" name="num_of_parameters" tableColumnId="17"/>
      <queryTableField id="18" name="num_train_protacs" tableColumnId="18"/>
      <queryTableField id="19" name="num_train_nodes" tableColumnId="19"/>
      <queryTableField id="20" name="gnn_layer_type" tableColumnId="20"/>
      <queryTableField id="21" name="output_layer_type" tableColumnId="21"/>
      <queryTableField id="22" name="num_layers" tableColumnId="22"/>
      <queryTableField id="23" name="layer_dims" tableColumnId="23"/>
      <queryTableField id="24" name="learning_rate" tableColumnId="24"/>
      <queryTableField id="25" name="batch" tableColumnId="25"/>
      <queryTableField id="26" name="criterion_reduction" tableColumnId="26"/>
      <queryTableField id="27" name="activationfunction" tableColumnId="27"/>
    </queryTableFields>
    <queryTableDeletedFields count="1">
      <deletedField name="graph_descriptor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3F75C3-118D-4355-B3A3-C244D443D9C6}" autoFormatId="16" applyNumberFormats="0" applyBorderFormats="0" applyFontFormats="0" applyPatternFormats="0" applyAlignmentFormats="0" applyWidthHeightFormats="0">
  <queryTableRefresh nextId="28">
    <queryTableFields count="26">
      <queryTableField id="1" name="date" tableColumnId="1"/>
      <queryTableField id="2" name="model_type" tableColumnId="2"/>
      <queryTableField id="3" name="comment" tableColumnId="3"/>
      <queryTableField id="5" name="val_acc" tableColumnId="5"/>
      <queryTableField id="6" name="train_acc" tableColumnId="6"/>
      <queryTableField id="7" name="test_protac_acc" tableColumnId="7"/>
      <queryTableField id="8" name="test_poi_acc" tableColumnId="8"/>
      <queryTableField id="9" name="test_linker_acc" tableColumnId="9"/>
      <queryTableField id="10" name="test_e3_acc" tableColumnId="10"/>
      <queryTableField id="11" name="random_pred_acc" tableColumnId="11"/>
      <queryTableField id="12" name="val_loss" tableColumnId="12"/>
      <queryTableField id="13" name="train_loss" tableColumnId="13"/>
      <queryTableField id="14" name="epochs" tableColumnId="14"/>
      <queryTableField id="15" name="training_time (min)" tableColumnId="15"/>
      <queryTableField id="16" name="min/epoch" tableColumnId="16"/>
      <queryTableField id="17" name="num_of_parameters" tableColumnId="17"/>
      <queryTableField id="18" name="num_train_protacs" tableColumnId="18"/>
      <queryTableField id="19" name="num_train_nodes" tableColumnId="19"/>
      <queryTableField id="20" name="gnn_layer_type" tableColumnId="20"/>
      <queryTableField id="21" name="output_layer_type" tableColumnId="21"/>
      <queryTableField id="22" name="num_layers" tableColumnId="22"/>
      <queryTableField id="23" name="layer_dims" tableColumnId="23"/>
      <queryTableField id="24" name="learning_rate" tableColumnId="24"/>
      <queryTableField id="25" name="batch" tableColumnId="25"/>
      <queryTableField id="26" name="criterion_reduction" tableColumnId="26"/>
      <queryTableField id="27" name="activationfunction" tableColumnId="27"/>
    </queryTableFields>
    <queryTableDeletedFields count="1">
      <deletedField name="graph_descripto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tac_splitter_results" displayName="protac_splitter_results" ref="A1:Z10" tableType="queryTable" totalsRowShown="0">
  <autoFilter ref="A1:Z10" xr:uid="{00000000-0009-0000-0100-000001000000}"/>
  <tableColumns count="26">
    <tableColumn id="1" xr3:uid="{00000000-0010-0000-0000-000001000000}" uniqueName="1" name="Column1" queryTableFieldId="1" dataDxfId="39"/>
    <tableColumn id="2" xr3:uid="{00000000-0010-0000-0000-000002000000}" uniqueName="2" name="model_type" queryTableFieldId="2" dataDxfId="38"/>
    <tableColumn id="3" xr3:uid="{00000000-0010-0000-0000-000003000000}" uniqueName="3" name="comment" queryTableFieldId="3" dataDxfId="37"/>
    <tableColumn id="5" xr3:uid="{00000000-0010-0000-0000-000005000000}" uniqueName="5" name="val_acc" queryTableFieldId="5" dataDxfId="36"/>
    <tableColumn id="6" xr3:uid="{00000000-0010-0000-0000-000006000000}" uniqueName="6" name="train_acc" queryTableFieldId="6" dataDxfId="35"/>
    <tableColumn id="7" xr3:uid="{00000000-0010-0000-0000-000007000000}" uniqueName="7" name="test_protac_acc" queryTableFieldId="7" dataDxfId="34"/>
    <tableColumn id="8" xr3:uid="{00000000-0010-0000-0000-000008000000}" uniqueName="8" name="test_poi_acc" queryTableFieldId="8" dataDxfId="33"/>
    <tableColumn id="9" xr3:uid="{00000000-0010-0000-0000-000009000000}" uniqueName="9" name="test_linker_acc" queryTableFieldId="9" dataDxfId="32"/>
    <tableColumn id="10" xr3:uid="{00000000-0010-0000-0000-00000A000000}" uniqueName="10" name="test_e3_acc" queryTableFieldId="10" dataDxfId="31"/>
    <tableColumn id="11" xr3:uid="{00000000-0010-0000-0000-00000B000000}" uniqueName="11" name="random_pred_acc" queryTableFieldId="11" dataDxfId="30"/>
    <tableColumn id="12" xr3:uid="{00000000-0010-0000-0000-00000C000000}" uniqueName="12" name="val_loss" queryTableFieldId="12" dataDxfId="29"/>
    <tableColumn id="13" xr3:uid="{00000000-0010-0000-0000-00000D000000}" uniqueName="13" name="train_loss" queryTableFieldId="13" dataDxfId="28"/>
    <tableColumn id="14" xr3:uid="{00000000-0010-0000-0000-00000E000000}" uniqueName="14" name="epochs" queryTableFieldId="14"/>
    <tableColumn id="15" xr3:uid="{00000000-0010-0000-0000-00000F000000}" uniqueName="15" name="training_time (min)" queryTableFieldId="15" dataDxfId="27"/>
    <tableColumn id="16" xr3:uid="{00000000-0010-0000-0000-000010000000}" uniqueName="16" name="min/epoch" queryTableFieldId="16" dataDxfId="26"/>
    <tableColumn id="17" xr3:uid="{00000000-0010-0000-0000-000011000000}" uniqueName="17" name="num_of_parameters" queryTableFieldId="17"/>
    <tableColumn id="18" xr3:uid="{00000000-0010-0000-0000-000012000000}" uniqueName="18" name="num_train_protacs" queryTableFieldId="18"/>
    <tableColumn id="19" xr3:uid="{00000000-0010-0000-0000-000013000000}" uniqueName="19" name="num_train_nodes" queryTableFieldId="19"/>
    <tableColumn id="20" xr3:uid="{00000000-0010-0000-0000-000014000000}" uniqueName="20" name="gnn_layer_type" queryTableFieldId="20" dataDxfId="25"/>
    <tableColumn id="21" xr3:uid="{00000000-0010-0000-0000-000015000000}" uniqueName="21" name="output_layer_type" queryTableFieldId="21" dataDxfId="24"/>
    <tableColumn id="22" xr3:uid="{00000000-0010-0000-0000-000016000000}" uniqueName="22" name="num_layers" queryTableFieldId="22"/>
    <tableColumn id="23" xr3:uid="{00000000-0010-0000-0000-000017000000}" uniqueName="23" name="layer_dims" queryTableFieldId="23" dataDxfId="23"/>
    <tableColumn id="24" xr3:uid="{00000000-0010-0000-0000-000018000000}" uniqueName="24" name="learning_rate" queryTableFieldId="24" dataDxfId="22"/>
    <tableColumn id="25" xr3:uid="{00000000-0010-0000-0000-000019000000}" uniqueName="25" name="batch" queryTableFieldId="25"/>
    <tableColumn id="26" xr3:uid="{00000000-0010-0000-0000-00001A000000}" uniqueName="26" name="criterion_reduction" queryTableFieldId="26" dataDxfId="21"/>
    <tableColumn id="27" xr3:uid="{00000000-0010-0000-0000-00001B000000}" uniqueName="27" name="activationfunction" queryTableFieldId="27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2260C-DE3B-4C7E-B81D-6043751885A7}" name="protac_splitter_results3" displayName="protac_splitter_results3" ref="A1:Z10" tableType="queryTable" totalsRowShown="0">
  <autoFilter ref="A1:Z10" xr:uid="{4932260C-DE3B-4C7E-B81D-6043751885A7}"/>
  <tableColumns count="26">
    <tableColumn id="1" xr3:uid="{CEE1DD25-725C-45B0-905C-E8D441935BBC}" uniqueName="1" name="Column1" queryTableFieldId="1" dataDxfId="19"/>
    <tableColumn id="2" xr3:uid="{D0F55CEE-3C4C-4A92-9E55-38BB250E9B03}" uniqueName="2" name="model_type" queryTableFieldId="2" dataDxfId="18"/>
    <tableColumn id="3" xr3:uid="{474EEF6F-2131-44EC-BA1C-3A74BC32D306}" uniqueName="3" name="comment" queryTableFieldId="3" dataDxfId="17"/>
    <tableColumn id="5" xr3:uid="{86395A14-BD15-4FFA-B89C-6E63C4223B8F}" uniqueName="5" name="val_acc" queryTableFieldId="5" dataDxfId="16"/>
    <tableColumn id="6" xr3:uid="{76389AD9-BC4A-47B3-8797-AC84E0BDB2A7}" uniqueName="6" name="train_acc" queryTableFieldId="6" dataDxfId="15"/>
    <tableColumn id="7" xr3:uid="{189D2D1A-375A-47A8-8877-D9DD39E73A19}" uniqueName="7" name="test_protac_acc" queryTableFieldId="7" dataDxfId="14"/>
    <tableColumn id="8" xr3:uid="{11329A80-92F1-4A62-A9DE-576D22C092F4}" uniqueName="8" name="test_poi_acc" queryTableFieldId="8" dataDxfId="13"/>
    <tableColumn id="9" xr3:uid="{BAFB879B-3B79-47A9-AB8C-25FD5AAD18F8}" uniqueName="9" name="test_linker_acc" queryTableFieldId="9" dataDxfId="12"/>
    <tableColumn id="10" xr3:uid="{C3CE39AA-E626-485A-B8CA-EB36F135351B}" uniqueName="10" name="test_e3_acc" queryTableFieldId="10" dataDxfId="11"/>
    <tableColumn id="11" xr3:uid="{DFDF7FAA-48EC-4E17-B33C-590C248A0968}" uniqueName="11" name="random_pred_acc" queryTableFieldId="11" dataDxfId="10"/>
    <tableColumn id="12" xr3:uid="{9238D847-F647-46F9-8CCE-96015A4863AC}" uniqueName="12" name="val_loss" queryTableFieldId="12" dataDxfId="9"/>
    <tableColumn id="13" xr3:uid="{720145E3-7D3C-46F9-A396-3A43ACED68D6}" uniqueName="13" name="train_loss" queryTableFieldId="13" dataDxfId="8"/>
    <tableColumn id="14" xr3:uid="{AF3467AA-6168-42F5-9645-DF27C714DE22}" uniqueName="14" name="epochs" queryTableFieldId="14"/>
    <tableColumn id="15" xr3:uid="{7DFEA121-8EC9-480E-83A3-F8325C927DCB}" uniqueName="15" name="training_time (min)" queryTableFieldId="15" dataDxfId="7"/>
    <tableColumn id="16" xr3:uid="{AB2B63C3-A259-4976-8D79-AE4B88F0E871}" uniqueName="16" name="min/epoch" queryTableFieldId="16" dataDxfId="6"/>
    <tableColumn id="17" xr3:uid="{16F28D24-E225-4DB0-8A32-84C0D38E09BE}" uniqueName="17" name="num_of_parameters" queryTableFieldId="17"/>
    <tableColumn id="18" xr3:uid="{F57DECD9-46FD-46C0-BA8F-2FF52127AF7A}" uniqueName="18" name="num_train_protacs" queryTableFieldId="18"/>
    <tableColumn id="19" xr3:uid="{7A7ED60A-806B-44A1-9C9E-BEC2CC433BE6}" uniqueName="19" name="num_train_nodes" queryTableFieldId="19"/>
    <tableColumn id="20" xr3:uid="{DFD084AB-57CB-4A58-BC9F-16C7AF812282}" uniqueName="20" name="gnn_layer_type" queryTableFieldId="20" dataDxfId="5"/>
    <tableColumn id="21" xr3:uid="{969663CA-70C1-4CD3-8750-7A44CA7A9788}" uniqueName="21" name="output_layer_type" queryTableFieldId="21" dataDxfId="4"/>
    <tableColumn id="22" xr3:uid="{918B2D3F-34D3-4591-8752-89D4F5C1A969}" uniqueName="22" name="num_layers" queryTableFieldId="22"/>
    <tableColumn id="23" xr3:uid="{52BFCEEA-9678-462F-89FA-0F9F871708BD}" uniqueName="23" name="layer_dims" queryTableFieldId="23" dataDxfId="3"/>
    <tableColumn id="24" xr3:uid="{3B2FB716-2DA3-4285-BF09-C24E9804B0C7}" uniqueName="24" name="learning_rate" queryTableFieldId="24" dataDxfId="2"/>
    <tableColumn id="25" xr3:uid="{EE350497-13F0-4B9C-9DC0-17D240A4671B}" uniqueName="25" name="batch" queryTableFieldId="25"/>
    <tableColumn id="26" xr3:uid="{64C0A998-0777-489D-8C4C-4D838F5EA657}" uniqueName="26" name="criterion_reduction" queryTableFieldId="26" dataDxfId="1"/>
    <tableColumn id="27" xr3:uid="{75CE345B-A634-47B0-946B-894AB61C74CE}" uniqueName="27" name="activationfunction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opLeftCell="B1" workbookViewId="0">
      <selection activeCell="B1" sqref="A1:XFD1048576"/>
    </sheetView>
  </sheetViews>
  <sheetFormatPr defaultRowHeight="15" x14ac:dyDescent="0.25"/>
  <cols>
    <col min="1" max="1" width="15.5703125" hidden="1" customWidth="1"/>
    <col min="2" max="2" width="16.85546875" bestFit="1" customWidth="1"/>
    <col min="3" max="3" width="13.85546875" bestFit="1" customWidth="1"/>
    <col min="4" max="9" width="18.85546875" bestFit="1" customWidth="1"/>
    <col min="10" max="10" width="19.140625" bestFit="1" customWidth="1"/>
    <col min="11" max="12" width="20.85546875" bestFit="1" customWidth="1"/>
    <col min="13" max="13" width="9.5703125" bestFit="1" customWidth="1"/>
    <col min="14" max="14" width="20.85546875" bestFit="1" customWidth="1"/>
    <col min="15" max="15" width="18.85546875" bestFit="1" customWidth="1"/>
    <col min="16" max="16" width="21.5703125" bestFit="1" customWidth="1"/>
    <col min="17" max="17" width="20.140625" bestFit="1" customWidth="1"/>
    <col min="18" max="18" width="19" bestFit="1" customWidth="1"/>
    <col min="19" max="19" width="17.140625" bestFit="1" customWidth="1"/>
    <col min="20" max="20" width="20" bestFit="1" customWidth="1"/>
    <col min="21" max="21" width="13.5703125" bestFit="1" customWidth="1"/>
    <col min="22" max="22" width="42.5703125" bestFit="1" customWidth="1"/>
    <col min="23" max="23" width="15.140625" bestFit="1" customWidth="1"/>
    <col min="24" max="24" width="8.140625" bestFit="1" customWidth="1"/>
    <col min="25" max="25" width="20.7109375" bestFit="1" customWidth="1"/>
    <col min="26" max="26" width="19.7109375" bestFit="1" customWidth="1"/>
  </cols>
  <sheetData>
    <row r="1" spans="1:26" x14ac:dyDescent="0.25">
      <c r="A1" t="s">
        <v>50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</row>
    <row r="2" spans="1:26" hidden="1" x14ac:dyDescent="0.25">
      <c r="A2" s="1"/>
      <c r="B2" s="2" t="s">
        <v>35</v>
      </c>
      <c r="C2" s="2" t="s">
        <v>36</v>
      </c>
      <c r="D2" s="3">
        <v>0.98591696379287197</v>
      </c>
      <c r="E2" s="3">
        <v>0.98566856409605996</v>
      </c>
      <c r="F2" s="3">
        <v>0.50428404117610803</v>
      </c>
      <c r="G2" s="3">
        <v>0.88944838309344798</v>
      </c>
      <c r="H2" s="3">
        <v>0.934336609336609</v>
      </c>
      <c r="I2" s="3">
        <v>0.62809941141763403</v>
      </c>
      <c r="J2" s="3">
        <v>0.33333333333333298</v>
      </c>
      <c r="K2" s="3">
        <v>3.9333788746997597E-2</v>
      </c>
      <c r="L2" s="3">
        <v>3.9995930931891903E-2</v>
      </c>
      <c r="M2">
        <v>47</v>
      </c>
      <c r="N2" s="2">
        <v>42.879666666666601</v>
      </c>
      <c r="O2" s="2">
        <v>0.912333333333333</v>
      </c>
      <c r="P2">
        <v>297219</v>
      </c>
      <c r="Q2">
        <v>3720</v>
      </c>
      <c r="R2">
        <v>268082</v>
      </c>
      <c r="S2" s="2" t="s">
        <v>37</v>
      </c>
      <c r="T2" s="2" t="s">
        <v>38</v>
      </c>
      <c r="U2">
        <v>10</v>
      </c>
      <c r="V2" s="2" t="s">
        <v>39</v>
      </c>
      <c r="W2" s="2">
        <v>4.26E-4</v>
      </c>
      <c r="X2">
        <v>1</v>
      </c>
      <c r="Y2" s="2" t="s">
        <v>40</v>
      </c>
      <c r="Z2" s="2" t="s">
        <v>41</v>
      </c>
    </row>
    <row r="3" spans="1:26" hidden="1" x14ac:dyDescent="0.25">
      <c r="A3" s="1"/>
      <c r="B3" s="2" t="s">
        <v>35</v>
      </c>
      <c r="C3" s="2" t="s">
        <v>36</v>
      </c>
      <c r="D3" s="3">
        <v>0.98563351285226197</v>
      </c>
      <c r="E3" s="3">
        <v>0.98521347945777704</v>
      </c>
      <c r="F3" s="3">
        <v>0.50206496948776402</v>
      </c>
      <c r="G3" s="3">
        <v>0.898663395289787</v>
      </c>
      <c r="H3" s="3">
        <v>0.93212530712530695</v>
      </c>
      <c r="I3" s="3">
        <v>0.61799709306508899</v>
      </c>
      <c r="J3" s="3">
        <v>0.33333333333333298</v>
      </c>
      <c r="K3" s="3">
        <v>3.8741797500413899E-2</v>
      </c>
      <c r="L3" s="3">
        <v>3.9544576066269099E-2</v>
      </c>
      <c r="M3">
        <v>43</v>
      </c>
      <c r="N3" s="2">
        <v>38.957999999999998</v>
      </c>
      <c r="O3" s="2">
        <v>0.90600000000000003</v>
      </c>
      <c r="P3">
        <v>297219</v>
      </c>
      <c r="Q3">
        <v>3720</v>
      </c>
      <c r="R3">
        <v>268082</v>
      </c>
      <c r="S3" s="2" t="s">
        <v>37</v>
      </c>
      <c r="T3" s="2" t="s">
        <v>38</v>
      </c>
      <c r="U3">
        <v>10</v>
      </c>
      <c r="V3" s="2" t="s">
        <v>39</v>
      </c>
      <c r="W3" s="2">
        <v>4.26E-4</v>
      </c>
      <c r="X3">
        <v>1</v>
      </c>
      <c r="Y3" s="2" t="s">
        <v>40</v>
      </c>
      <c r="Z3" s="2" t="s">
        <v>41</v>
      </c>
    </row>
    <row r="4" spans="1:26" hidden="1" x14ac:dyDescent="0.25">
      <c r="A4" s="1"/>
      <c r="B4" s="2" t="s">
        <v>42</v>
      </c>
      <c r="C4" s="2" t="s">
        <v>36</v>
      </c>
      <c r="D4" s="3">
        <v>0.99345079142486303</v>
      </c>
      <c r="E4" s="3">
        <v>0.99248364306443504</v>
      </c>
      <c r="F4" s="3">
        <v>0.51020156567835695</v>
      </c>
      <c r="G4" s="3">
        <v>0.91737871417771</v>
      </c>
      <c r="H4" s="3">
        <v>0.88445945945945903</v>
      </c>
      <c r="I4" s="3">
        <v>0.66419145476262398</v>
      </c>
      <c r="J4" s="3">
        <v>0.33333333333333298</v>
      </c>
      <c r="K4" s="3">
        <v>1.84596218271454E-2</v>
      </c>
      <c r="L4" s="3">
        <v>2.0616725373838098E-2</v>
      </c>
      <c r="M4">
        <v>39</v>
      </c>
      <c r="N4" s="2">
        <v>19.734000000000002</v>
      </c>
      <c r="O4" s="2">
        <v>0.50600000000000001</v>
      </c>
      <c r="P4">
        <v>42883</v>
      </c>
      <c r="Q4">
        <v>3720</v>
      </c>
      <c r="R4">
        <v>268082</v>
      </c>
      <c r="S4" s="2" t="s">
        <v>37</v>
      </c>
      <c r="T4" s="2" t="s">
        <v>38</v>
      </c>
      <c r="U4">
        <v>6</v>
      </c>
      <c r="V4" s="2" t="s">
        <v>43</v>
      </c>
      <c r="W4" s="2">
        <v>4.26E-4</v>
      </c>
      <c r="X4">
        <v>1</v>
      </c>
      <c r="Y4" s="2" t="s">
        <v>40</v>
      </c>
      <c r="Z4" s="2" t="s">
        <v>41</v>
      </c>
    </row>
    <row r="5" spans="1:26" x14ac:dyDescent="0.25">
      <c r="A5" s="1"/>
      <c r="B5" s="2" t="s">
        <v>42</v>
      </c>
      <c r="C5" s="2" t="s">
        <v>44</v>
      </c>
      <c r="D5" s="3">
        <v>0.99152354652450603</v>
      </c>
      <c r="E5" s="3">
        <v>0.99105072626366797</v>
      </c>
      <c r="F5" s="3">
        <v>0.53689206681871404</v>
      </c>
      <c r="G5" s="3">
        <v>0.91040326376902503</v>
      </c>
      <c r="H5" s="3">
        <v>0.88716216216216204</v>
      </c>
      <c r="I5" s="3">
        <v>0.692469311689619</v>
      </c>
      <c r="J5" s="3">
        <v>0.33333333333333298</v>
      </c>
      <c r="K5" s="3">
        <v>2.383509927718E-2</v>
      </c>
      <c r="L5" s="3">
        <v>2.5578473086488699E-2</v>
      </c>
      <c r="M5">
        <v>23</v>
      </c>
      <c r="N5" s="4">
        <v>13.069373219373214</v>
      </c>
      <c r="O5" s="2">
        <f>protac_splitter_results[[#This Row],[training_time (min)]]/protac_splitter_results[[#This Row],[epochs]]</f>
        <v>0.56823361823361795</v>
      </c>
      <c r="P5">
        <v>42883</v>
      </c>
      <c r="Q5">
        <v>3720</v>
      </c>
      <c r="R5">
        <v>267396</v>
      </c>
      <c r="S5" s="2" t="s">
        <v>37</v>
      </c>
      <c r="T5" s="2" t="s">
        <v>38</v>
      </c>
      <c r="U5">
        <v>6</v>
      </c>
      <c r="V5" s="2" t="s">
        <v>43</v>
      </c>
      <c r="W5" s="2">
        <v>5.6300000000000002E-4</v>
      </c>
      <c r="X5">
        <v>1</v>
      </c>
      <c r="Y5" s="2" t="s">
        <v>40</v>
      </c>
      <c r="Z5" s="2" t="s">
        <v>41</v>
      </c>
    </row>
    <row r="6" spans="1:26" x14ac:dyDescent="0.25">
      <c r="A6" s="1"/>
      <c r="B6" s="2" t="s">
        <v>42</v>
      </c>
      <c r="C6" s="2" t="s">
        <v>45</v>
      </c>
      <c r="D6" s="3">
        <v>0.99183423649364799</v>
      </c>
      <c r="E6" s="3">
        <v>0.99097066304647796</v>
      </c>
      <c r="F6" s="3">
        <v>0.51692042162361995</v>
      </c>
      <c r="G6" s="3">
        <v>0.91633738927007402</v>
      </c>
      <c r="H6" s="3">
        <v>0.89287469287469201</v>
      </c>
      <c r="I6" s="3">
        <v>0.66155794442285798</v>
      </c>
      <c r="J6" s="3">
        <v>0.33333333333333298</v>
      </c>
      <c r="K6" s="3">
        <v>2.29800627305271E-2</v>
      </c>
      <c r="L6" s="3">
        <v>2.48568425626477E-2</v>
      </c>
      <c r="M6">
        <v>24</v>
      </c>
      <c r="N6" s="4">
        <v>13.637606837606832</v>
      </c>
      <c r="O6" s="2">
        <f>protac_splitter_results[[#This Row],[training_time (min)]]/protac_splitter_results[[#This Row],[epochs]]</f>
        <v>0.56823361823361795</v>
      </c>
      <c r="P6">
        <v>42883</v>
      </c>
      <c r="Q6">
        <v>3720</v>
      </c>
      <c r="R6">
        <v>268126</v>
      </c>
      <c r="S6" s="2" t="s">
        <v>37</v>
      </c>
      <c r="T6" s="2" t="s">
        <v>38</v>
      </c>
      <c r="U6">
        <v>6</v>
      </c>
      <c r="V6" s="2" t="s">
        <v>43</v>
      </c>
      <c r="W6" s="2">
        <v>5.6300000000000002E-4</v>
      </c>
      <c r="X6">
        <v>1</v>
      </c>
      <c r="Y6" s="2" t="s">
        <v>40</v>
      </c>
      <c r="Z6" s="2" t="s">
        <v>41</v>
      </c>
    </row>
    <row r="7" spans="1:26" x14ac:dyDescent="0.25">
      <c r="A7" s="1"/>
      <c r="B7" s="2" t="s">
        <v>42</v>
      </c>
      <c r="C7" s="2" t="s">
        <v>46</v>
      </c>
      <c r="D7" s="3">
        <v>0.98849293610868405</v>
      </c>
      <c r="E7" s="3">
        <v>0.99029097309829195</v>
      </c>
      <c r="F7" s="3">
        <v>0.53085126055599996</v>
      </c>
      <c r="G7" s="3">
        <v>0.91713621385675304</v>
      </c>
      <c r="H7" s="3">
        <v>0.88065110565110505</v>
      </c>
      <c r="I7" s="3">
        <v>0.68053936594281095</v>
      </c>
      <c r="J7" s="3">
        <v>0.33333333333333298</v>
      </c>
      <c r="K7" s="3">
        <v>3.2977509016117297E-2</v>
      </c>
      <c r="L7" s="3">
        <v>2.61400413299104E-2</v>
      </c>
      <c r="M7">
        <v>20</v>
      </c>
      <c r="N7" s="4">
        <v>11.364672364672359</v>
      </c>
      <c r="O7" s="2">
        <f>protac_splitter_results[[#This Row],[training_time (min)]]/protac_splitter_results[[#This Row],[epochs]]</f>
        <v>0.56823361823361795</v>
      </c>
      <c r="P7">
        <v>42883</v>
      </c>
      <c r="Q7">
        <v>3720</v>
      </c>
      <c r="R7">
        <v>268719</v>
      </c>
      <c r="S7" s="2" t="s">
        <v>37</v>
      </c>
      <c r="T7" s="2" t="s">
        <v>38</v>
      </c>
      <c r="U7">
        <v>6</v>
      </c>
      <c r="V7" s="2" t="s">
        <v>43</v>
      </c>
      <c r="W7" s="2">
        <v>5.6300000000000002E-4</v>
      </c>
      <c r="X7">
        <v>1</v>
      </c>
      <c r="Y7" s="2" t="s">
        <v>40</v>
      </c>
      <c r="Z7" s="2" t="s">
        <v>41</v>
      </c>
    </row>
    <row r="8" spans="1:26" x14ac:dyDescent="0.25">
      <c r="A8" s="1"/>
      <c r="B8" s="2" t="s">
        <v>42</v>
      </c>
      <c r="C8" s="2" t="s">
        <v>47</v>
      </c>
      <c r="D8" s="3">
        <v>0.99110322936381301</v>
      </c>
      <c r="E8" s="3">
        <v>0.99053393530092104</v>
      </c>
      <c r="F8" s="3">
        <v>0.50921531159464895</v>
      </c>
      <c r="G8" s="3">
        <v>0.91384106243670005</v>
      </c>
      <c r="H8" s="3">
        <v>0.89047911547911496</v>
      </c>
      <c r="I8" s="3">
        <v>0.65657873908100495</v>
      </c>
      <c r="J8" s="3">
        <v>0.33333333333333298</v>
      </c>
      <c r="K8" s="3">
        <v>2.41448948224601E-2</v>
      </c>
      <c r="L8" s="3">
        <v>2.63870738710856E-2</v>
      </c>
      <c r="M8">
        <v>25</v>
      </c>
      <c r="N8" s="4">
        <v>14.205840455840448</v>
      </c>
      <c r="O8" s="2">
        <f>protac_splitter_results[[#This Row],[training_time (min)]]/protac_splitter_results[[#This Row],[epochs]]</f>
        <v>0.56823361823361795</v>
      </c>
      <c r="P8">
        <v>42883</v>
      </c>
      <c r="Q8">
        <v>3720</v>
      </c>
      <c r="R8">
        <v>268010</v>
      </c>
      <c r="S8" s="2" t="s">
        <v>37</v>
      </c>
      <c r="T8" s="2" t="s">
        <v>38</v>
      </c>
      <c r="U8">
        <v>6</v>
      </c>
      <c r="V8" s="2" t="s">
        <v>43</v>
      </c>
      <c r="W8" s="2">
        <v>5.6300000000000002E-4</v>
      </c>
      <c r="X8">
        <v>1</v>
      </c>
      <c r="Y8" s="2" t="s">
        <v>40</v>
      </c>
      <c r="Z8" s="2" t="s">
        <v>41</v>
      </c>
    </row>
    <row r="9" spans="1:26" x14ac:dyDescent="0.25">
      <c r="A9" s="1"/>
      <c r="B9" s="2" t="s">
        <v>42</v>
      </c>
      <c r="C9" s="2" t="s">
        <v>48</v>
      </c>
      <c r="D9" s="3">
        <v>0.99169057867049204</v>
      </c>
      <c r="E9" s="3">
        <v>0.98979869575430302</v>
      </c>
      <c r="F9" s="3">
        <v>0.50650311286445104</v>
      </c>
      <c r="G9" s="3">
        <v>0.91836298018629703</v>
      </c>
      <c r="H9" s="3">
        <v>0.88605651105651095</v>
      </c>
      <c r="I9" s="3">
        <v>0.65302421966066504</v>
      </c>
      <c r="J9" s="3">
        <v>0.33333333333333298</v>
      </c>
      <c r="K9" s="3">
        <v>2.2455617930109899E-2</v>
      </c>
      <c r="L9" s="3">
        <v>3.0503109337075798E-2</v>
      </c>
      <c r="M9">
        <v>25</v>
      </c>
      <c r="N9" s="4">
        <v>14.205840455840448</v>
      </c>
      <c r="O9" s="2">
        <f>protac_splitter_results[[#This Row],[training_time (min)]]/protac_splitter_results[[#This Row],[epochs]]</f>
        <v>0.56823361823361795</v>
      </c>
      <c r="P9">
        <v>42883</v>
      </c>
      <c r="Q9">
        <v>3720</v>
      </c>
      <c r="R9">
        <v>268201</v>
      </c>
      <c r="S9" s="2" t="s">
        <v>37</v>
      </c>
      <c r="T9" s="2" t="s">
        <v>38</v>
      </c>
      <c r="U9">
        <v>6</v>
      </c>
      <c r="V9" s="2" t="s">
        <v>43</v>
      </c>
      <c r="W9" s="2">
        <v>5.6300000000000002E-4</v>
      </c>
      <c r="X9">
        <v>1</v>
      </c>
      <c r="Y9" s="2" t="s">
        <v>40</v>
      </c>
      <c r="Z9" s="2" t="s">
        <v>41</v>
      </c>
    </row>
    <row r="10" spans="1:26" x14ac:dyDescent="0.25">
      <c r="A10" s="1"/>
      <c r="B10" s="2" t="s">
        <v>42</v>
      </c>
      <c r="C10" s="2" t="s">
        <v>49</v>
      </c>
      <c r="D10" s="3">
        <v>0.99124285778221999</v>
      </c>
      <c r="E10" s="3">
        <v>0.98956289493513105</v>
      </c>
      <c r="F10" s="3">
        <v>0.52548850397583602</v>
      </c>
      <c r="G10" s="3">
        <v>0.924610929632112</v>
      </c>
      <c r="H10" s="3">
        <v>0.88200245700245705</v>
      </c>
      <c r="I10" s="3">
        <v>0.66878210939860905</v>
      </c>
      <c r="J10" s="3">
        <v>0.33333333333333298</v>
      </c>
      <c r="K10" s="3">
        <v>2.4298757537430798E-2</v>
      </c>
      <c r="L10" s="3">
        <v>2.9477980019550099E-2</v>
      </c>
      <c r="M10">
        <v>20</v>
      </c>
      <c r="N10" s="4">
        <v>10.386666666666599</v>
      </c>
      <c r="O10" s="2">
        <v>0.51933333333333298</v>
      </c>
      <c r="P10">
        <v>42883</v>
      </c>
      <c r="Q10">
        <v>3720</v>
      </c>
      <c r="R10">
        <v>268082</v>
      </c>
      <c r="S10" s="2" t="s">
        <v>37</v>
      </c>
      <c r="T10" s="2" t="s">
        <v>38</v>
      </c>
      <c r="U10">
        <v>6</v>
      </c>
      <c r="V10" s="2" t="s">
        <v>43</v>
      </c>
      <c r="W10" s="2">
        <v>5.6300000000000002E-4</v>
      </c>
      <c r="X10">
        <v>1</v>
      </c>
      <c r="Y10" s="2" t="s">
        <v>40</v>
      </c>
      <c r="Z10" s="2" t="s">
        <v>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488E-9E47-4ED0-961F-166EAB2ACFCF}">
  <dimension ref="A1:Z12"/>
  <sheetViews>
    <sheetView tabSelected="1" topLeftCell="B1" workbookViewId="0">
      <selection activeCell="J17" sqref="J17"/>
    </sheetView>
  </sheetViews>
  <sheetFormatPr defaultRowHeight="15" x14ac:dyDescent="0.25"/>
  <cols>
    <col min="1" max="1" width="15.5703125" hidden="1" customWidth="1"/>
    <col min="2" max="2" width="16.85546875" bestFit="1" customWidth="1"/>
    <col min="3" max="3" width="13.85546875" bestFit="1" customWidth="1"/>
    <col min="4" max="9" width="18.85546875" bestFit="1" customWidth="1"/>
    <col min="10" max="10" width="19.140625" bestFit="1" customWidth="1"/>
    <col min="11" max="12" width="20.85546875" bestFit="1" customWidth="1"/>
    <col min="13" max="13" width="9.5703125" bestFit="1" customWidth="1"/>
    <col min="14" max="14" width="20.85546875" bestFit="1" customWidth="1"/>
    <col min="15" max="15" width="18.85546875" bestFit="1" customWidth="1"/>
    <col min="16" max="16" width="21.5703125" bestFit="1" customWidth="1"/>
    <col min="17" max="17" width="20.140625" bestFit="1" customWidth="1"/>
    <col min="18" max="18" width="19" bestFit="1" customWidth="1"/>
    <col min="19" max="19" width="17.140625" bestFit="1" customWidth="1"/>
    <col min="20" max="20" width="20" bestFit="1" customWidth="1"/>
    <col min="21" max="21" width="13.5703125" bestFit="1" customWidth="1"/>
    <col min="22" max="22" width="42.5703125" bestFit="1" customWidth="1"/>
    <col min="23" max="23" width="15.140625" bestFit="1" customWidth="1"/>
    <col min="24" max="24" width="8.140625" bestFit="1" customWidth="1"/>
    <col min="25" max="25" width="20.7109375" bestFit="1" customWidth="1"/>
    <col min="26" max="26" width="19.7109375" bestFit="1" customWidth="1"/>
  </cols>
  <sheetData>
    <row r="1" spans="1:26" x14ac:dyDescent="0.25">
      <c r="A1" t="s">
        <v>50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</row>
    <row r="2" spans="1:26" hidden="1" x14ac:dyDescent="0.25">
      <c r="A2" s="1"/>
      <c r="B2" s="2" t="s">
        <v>35</v>
      </c>
      <c r="C2" s="2" t="s">
        <v>36</v>
      </c>
      <c r="D2" s="3">
        <v>0.98591696379287197</v>
      </c>
      <c r="E2" s="3">
        <v>0.98566856409605996</v>
      </c>
      <c r="F2" s="3">
        <v>0.50428404117610803</v>
      </c>
      <c r="G2" s="3">
        <v>0.88944838309344798</v>
      </c>
      <c r="H2" s="3">
        <v>0.934336609336609</v>
      </c>
      <c r="I2" s="3">
        <v>0.62809941141763403</v>
      </c>
      <c r="J2" s="3">
        <v>0.33333333333333298</v>
      </c>
      <c r="K2" s="3">
        <v>3.9333788746997597E-2</v>
      </c>
      <c r="L2" s="3">
        <v>3.9995930931891903E-2</v>
      </c>
      <c r="M2">
        <v>47</v>
      </c>
      <c r="N2" s="2">
        <v>42.879666666666601</v>
      </c>
      <c r="O2" s="2">
        <v>0.912333333333333</v>
      </c>
      <c r="P2">
        <v>297219</v>
      </c>
      <c r="Q2">
        <v>3720</v>
      </c>
      <c r="R2">
        <v>268082</v>
      </c>
      <c r="S2" s="2" t="s">
        <v>37</v>
      </c>
      <c r="T2" s="2" t="s">
        <v>38</v>
      </c>
      <c r="U2">
        <v>10</v>
      </c>
      <c r="V2" s="2" t="s">
        <v>39</v>
      </c>
      <c r="W2" s="2">
        <v>4.26E-4</v>
      </c>
      <c r="X2">
        <v>1</v>
      </c>
      <c r="Y2" s="2" t="s">
        <v>40</v>
      </c>
      <c r="Z2" s="2" t="s">
        <v>41</v>
      </c>
    </row>
    <row r="3" spans="1:26" hidden="1" x14ac:dyDescent="0.25">
      <c r="A3" s="1"/>
      <c r="B3" s="2" t="s">
        <v>35</v>
      </c>
      <c r="C3" s="2" t="s">
        <v>36</v>
      </c>
      <c r="D3" s="3">
        <v>0.98563351285226197</v>
      </c>
      <c r="E3" s="3">
        <v>0.98521347945777704</v>
      </c>
      <c r="F3" s="3">
        <v>0.50206496948776402</v>
      </c>
      <c r="G3" s="3">
        <v>0.898663395289787</v>
      </c>
      <c r="H3" s="3">
        <v>0.93212530712530695</v>
      </c>
      <c r="I3" s="3">
        <v>0.61799709306508899</v>
      </c>
      <c r="J3" s="3">
        <v>0.33333333333333298</v>
      </c>
      <c r="K3" s="3">
        <v>3.8741797500413899E-2</v>
      </c>
      <c r="L3" s="3">
        <v>3.9544576066269099E-2</v>
      </c>
      <c r="M3">
        <v>43</v>
      </c>
      <c r="N3" s="2">
        <v>38.957999999999998</v>
      </c>
      <c r="O3" s="2">
        <v>0.90600000000000003</v>
      </c>
      <c r="P3">
        <v>297219</v>
      </c>
      <c r="Q3">
        <v>3720</v>
      </c>
      <c r="R3">
        <v>268082</v>
      </c>
      <c r="S3" s="2" t="s">
        <v>37</v>
      </c>
      <c r="T3" s="2" t="s">
        <v>38</v>
      </c>
      <c r="U3">
        <v>10</v>
      </c>
      <c r="V3" s="2" t="s">
        <v>39</v>
      </c>
      <c r="W3" s="2">
        <v>4.26E-4</v>
      </c>
      <c r="X3">
        <v>1</v>
      </c>
      <c r="Y3" s="2" t="s">
        <v>40</v>
      </c>
      <c r="Z3" s="2" t="s">
        <v>41</v>
      </c>
    </row>
    <row r="4" spans="1:26" hidden="1" x14ac:dyDescent="0.25">
      <c r="A4" s="1"/>
      <c r="B4" s="2" t="s">
        <v>42</v>
      </c>
      <c r="C4" s="2" t="s">
        <v>36</v>
      </c>
      <c r="D4" s="3">
        <v>0.99345079142486303</v>
      </c>
      <c r="E4" s="3">
        <v>0.99248364306443504</v>
      </c>
      <c r="F4" s="3">
        <v>0.51020156567835695</v>
      </c>
      <c r="G4" s="3">
        <v>0.91737871417771</v>
      </c>
      <c r="H4" s="3">
        <v>0.88445945945945903</v>
      </c>
      <c r="I4" s="3">
        <v>0.66419145476262398</v>
      </c>
      <c r="J4" s="3">
        <v>0.33333333333333298</v>
      </c>
      <c r="K4" s="3">
        <v>1.84596218271454E-2</v>
      </c>
      <c r="L4" s="3">
        <v>2.0616725373838098E-2</v>
      </c>
      <c r="M4">
        <v>39</v>
      </c>
      <c r="N4" s="2">
        <v>19.734000000000002</v>
      </c>
      <c r="O4" s="2">
        <v>0.50600000000000001</v>
      </c>
      <c r="P4">
        <v>42883</v>
      </c>
      <c r="Q4">
        <v>3720</v>
      </c>
      <c r="R4">
        <v>268082</v>
      </c>
      <c r="S4" s="2" t="s">
        <v>37</v>
      </c>
      <c r="T4" s="2" t="s">
        <v>38</v>
      </c>
      <c r="U4">
        <v>6</v>
      </c>
      <c r="V4" s="2" t="s">
        <v>43</v>
      </c>
      <c r="W4" s="2">
        <v>4.26E-4</v>
      </c>
      <c r="X4">
        <v>1</v>
      </c>
      <c r="Y4" s="2" t="s">
        <v>40</v>
      </c>
      <c r="Z4" s="2" t="s">
        <v>41</v>
      </c>
    </row>
    <row r="5" spans="1:26" x14ac:dyDescent="0.25">
      <c r="A5" s="1"/>
      <c r="B5" s="2" t="s">
        <v>42</v>
      </c>
      <c r="C5" s="2" t="s">
        <v>44</v>
      </c>
      <c r="D5" s="3">
        <v>0.99152354652450603</v>
      </c>
      <c r="E5" s="3">
        <v>0.99105072626366797</v>
      </c>
      <c r="F5" s="3">
        <v>0.53689206681871404</v>
      </c>
      <c r="G5" s="3">
        <v>0.91040326376902503</v>
      </c>
      <c r="H5" s="3">
        <v>0.88716216216216204</v>
      </c>
      <c r="I5" s="3">
        <v>0.692469311689619</v>
      </c>
      <c r="J5" s="3">
        <v>0.33333333333333298</v>
      </c>
      <c r="K5" s="3">
        <v>2.383509927718E-2</v>
      </c>
      <c r="L5" s="3">
        <v>2.5578473086488699E-2</v>
      </c>
      <c r="M5">
        <v>23</v>
      </c>
      <c r="N5" s="4">
        <v>13.069373219373214</v>
      </c>
      <c r="O5" s="2">
        <f>protac_splitter_results3[[#This Row],[training_time (min)]]/protac_splitter_results3[[#This Row],[epochs]]</f>
        <v>0.56823361823361795</v>
      </c>
      <c r="P5">
        <v>42883</v>
      </c>
      <c r="Q5">
        <v>3720</v>
      </c>
      <c r="R5">
        <v>267396</v>
      </c>
      <c r="S5" s="2" t="s">
        <v>37</v>
      </c>
      <c r="T5" s="2" t="s">
        <v>38</v>
      </c>
      <c r="U5">
        <v>6</v>
      </c>
      <c r="V5" s="2" t="s">
        <v>43</v>
      </c>
      <c r="W5" s="2">
        <v>5.6300000000000002E-4</v>
      </c>
      <c r="X5">
        <v>1</v>
      </c>
      <c r="Y5" s="2" t="s">
        <v>40</v>
      </c>
      <c r="Z5" s="2" t="s">
        <v>41</v>
      </c>
    </row>
    <row r="6" spans="1:26" x14ac:dyDescent="0.25">
      <c r="A6" s="1"/>
      <c r="B6" s="2" t="s">
        <v>42</v>
      </c>
      <c r="C6" s="2" t="s">
        <v>45</v>
      </c>
      <c r="D6" s="3">
        <v>0.99183423649364799</v>
      </c>
      <c r="E6" s="3">
        <v>0.99097066304647796</v>
      </c>
      <c r="F6" s="3">
        <v>0.51692042162361995</v>
      </c>
      <c r="G6" s="3">
        <v>0.91633738927007402</v>
      </c>
      <c r="H6" s="3">
        <v>0.89287469287469201</v>
      </c>
      <c r="I6" s="3">
        <v>0.66155794442285798</v>
      </c>
      <c r="J6" s="3">
        <v>0.33333333333333298</v>
      </c>
      <c r="K6" s="3">
        <v>2.29800627305271E-2</v>
      </c>
      <c r="L6" s="3">
        <v>2.48568425626477E-2</v>
      </c>
      <c r="M6">
        <v>24</v>
      </c>
      <c r="N6" s="4">
        <v>13.637606837606832</v>
      </c>
      <c r="O6" s="2">
        <f>protac_splitter_results3[[#This Row],[training_time (min)]]/protac_splitter_results3[[#This Row],[epochs]]</f>
        <v>0.56823361823361795</v>
      </c>
      <c r="P6">
        <v>42883</v>
      </c>
      <c r="Q6">
        <v>3720</v>
      </c>
      <c r="R6">
        <v>268126</v>
      </c>
      <c r="S6" s="2" t="s">
        <v>37</v>
      </c>
      <c r="T6" s="2" t="s">
        <v>38</v>
      </c>
      <c r="U6">
        <v>6</v>
      </c>
      <c r="V6" s="2" t="s">
        <v>43</v>
      </c>
      <c r="W6" s="2">
        <v>5.6300000000000002E-4</v>
      </c>
      <c r="X6">
        <v>1</v>
      </c>
      <c r="Y6" s="2" t="s">
        <v>40</v>
      </c>
      <c r="Z6" s="2" t="s">
        <v>41</v>
      </c>
    </row>
    <row r="7" spans="1:26" x14ac:dyDescent="0.25">
      <c r="A7" s="1"/>
      <c r="B7" s="2" t="s">
        <v>42</v>
      </c>
      <c r="C7" s="2" t="s">
        <v>46</v>
      </c>
      <c r="D7" s="3">
        <v>0.98849293610868405</v>
      </c>
      <c r="E7" s="3">
        <v>0.99029097309829195</v>
      </c>
      <c r="F7" s="3">
        <v>0.53085126055599996</v>
      </c>
      <c r="G7" s="3">
        <v>0.91713621385675304</v>
      </c>
      <c r="H7" s="3">
        <v>0.88065110565110505</v>
      </c>
      <c r="I7" s="3">
        <v>0.68053936594281095</v>
      </c>
      <c r="J7" s="3">
        <v>0.33333333333333298</v>
      </c>
      <c r="K7" s="3">
        <v>3.2977509016117297E-2</v>
      </c>
      <c r="L7" s="3">
        <v>2.61400413299104E-2</v>
      </c>
      <c r="M7">
        <v>20</v>
      </c>
      <c r="N7" s="4">
        <v>11.364672364672359</v>
      </c>
      <c r="O7" s="2">
        <f>protac_splitter_results3[[#This Row],[training_time (min)]]/protac_splitter_results3[[#This Row],[epochs]]</f>
        <v>0.56823361823361795</v>
      </c>
      <c r="P7">
        <v>42883</v>
      </c>
      <c r="Q7">
        <v>3720</v>
      </c>
      <c r="R7">
        <v>268719</v>
      </c>
      <c r="S7" s="2" t="s">
        <v>37</v>
      </c>
      <c r="T7" s="2" t="s">
        <v>38</v>
      </c>
      <c r="U7">
        <v>6</v>
      </c>
      <c r="V7" s="2" t="s">
        <v>43</v>
      </c>
      <c r="W7" s="2">
        <v>5.6300000000000002E-4</v>
      </c>
      <c r="X7">
        <v>1</v>
      </c>
      <c r="Y7" s="2" t="s">
        <v>40</v>
      </c>
      <c r="Z7" s="2" t="s">
        <v>41</v>
      </c>
    </row>
    <row r="8" spans="1:26" x14ac:dyDescent="0.25">
      <c r="A8" s="1"/>
      <c r="B8" s="2" t="s">
        <v>42</v>
      </c>
      <c r="C8" s="2" t="s">
        <v>47</v>
      </c>
      <c r="D8" s="3">
        <v>0.99110322936381301</v>
      </c>
      <c r="E8" s="3">
        <v>0.99053393530092104</v>
      </c>
      <c r="F8" s="3">
        <v>0.50921531159464895</v>
      </c>
      <c r="G8" s="3">
        <v>0.91384106243670005</v>
      </c>
      <c r="H8" s="3">
        <v>0.89047911547911496</v>
      </c>
      <c r="I8" s="3">
        <v>0.65657873908100495</v>
      </c>
      <c r="J8" s="3">
        <v>0.33333333333333298</v>
      </c>
      <c r="K8" s="3">
        <v>2.41448948224601E-2</v>
      </c>
      <c r="L8" s="3">
        <v>2.63870738710856E-2</v>
      </c>
      <c r="M8">
        <v>25</v>
      </c>
      <c r="N8" s="4">
        <v>14.205840455840448</v>
      </c>
      <c r="O8" s="2">
        <f>protac_splitter_results3[[#This Row],[training_time (min)]]/protac_splitter_results3[[#This Row],[epochs]]</f>
        <v>0.56823361823361795</v>
      </c>
      <c r="P8">
        <v>42883</v>
      </c>
      <c r="Q8">
        <v>3720</v>
      </c>
      <c r="R8">
        <v>268010</v>
      </c>
      <c r="S8" s="2" t="s">
        <v>37</v>
      </c>
      <c r="T8" s="2" t="s">
        <v>38</v>
      </c>
      <c r="U8">
        <v>6</v>
      </c>
      <c r="V8" s="2" t="s">
        <v>43</v>
      </c>
      <c r="W8" s="2">
        <v>5.6300000000000002E-4</v>
      </c>
      <c r="X8">
        <v>1</v>
      </c>
      <c r="Y8" s="2" t="s">
        <v>40</v>
      </c>
      <c r="Z8" s="2" t="s">
        <v>41</v>
      </c>
    </row>
    <row r="9" spans="1:26" x14ac:dyDescent="0.25">
      <c r="A9" s="1"/>
      <c r="B9" s="2" t="s">
        <v>42</v>
      </c>
      <c r="C9" s="2" t="s">
        <v>48</v>
      </c>
      <c r="D9" s="3">
        <v>0.99169057867049204</v>
      </c>
      <c r="E9" s="3">
        <v>0.98979869575430302</v>
      </c>
      <c r="F9" s="3">
        <v>0.50650311286445104</v>
      </c>
      <c r="G9" s="3">
        <v>0.91836298018629703</v>
      </c>
      <c r="H9" s="3">
        <v>0.88605651105651095</v>
      </c>
      <c r="I9" s="3">
        <v>0.65302421966066504</v>
      </c>
      <c r="J9" s="3">
        <v>0.33333333333333298</v>
      </c>
      <c r="K9" s="3">
        <v>2.2455617930109899E-2</v>
      </c>
      <c r="L9" s="3">
        <v>3.0503109337075798E-2</v>
      </c>
      <c r="M9">
        <v>25</v>
      </c>
      <c r="N9" s="4">
        <v>14.205840455840448</v>
      </c>
      <c r="O9" s="2">
        <f>protac_splitter_results3[[#This Row],[training_time (min)]]/protac_splitter_results3[[#This Row],[epochs]]</f>
        <v>0.56823361823361795</v>
      </c>
      <c r="P9">
        <v>42883</v>
      </c>
      <c r="Q9">
        <v>3720</v>
      </c>
      <c r="R9">
        <v>268201</v>
      </c>
      <c r="S9" s="2" t="s">
        <v>37</v>
      </c>
      <c r="T9" s="2" t="s">
        <v>38</v>
      </c>
      <c r="U9">
        <v>6</v>
      </c>
      <c r="V9" s="2" t="s">
        <v>43</v>
      </c>
      <c r="W9" s="2">
        <v>5.6300000000000002E-4</v>
      </c>
      <c r="X9">
        <v>1</v>
      </c>
      <c r="Y9" s="2" t="s">
        <v>40</v>
      </c>
      <c r="Z9" s="2" t="s">
        <v>41</v>
      </c>
    </row>
    <row r="10" spans="1:26" x14ac:dyDescent="0.25">
      <c r="A10" s="1"/>
      <c r="B10" s="2" t="s">
        <v>42</v>
      </c>
      <c r="C10" s="2" t="s">
        <v>49</v>
      </c>
      <c r="D10" s="3">
        <v>0.99124285778221999</v>
      </c>
      <c r="E10" s="3">
        <v>0.98956289493513105</v>
      </c>
      <c r="F10" s="3">
        <v>0.52548850397583602</v>
      </c>
      <c r="G10" s="3">
        <v>0.924610929632112</v>
      </c>
      <c r="H10" s="3">
        <v>0.88200245700245705</v>
      </c>
      <c r="I10" s="3">
        <v>0.66878210939860905</v>
      </c>
      <c r="J10" s="3">
        <v>0.33333333333333298</v>
      </c>
      <c r="K10" s="3">
        <v>2.4298757537430798E-2</v>
      </c>
      <c r="L10" s="3">
        <v>2.9477980019550099E-2</v>
      </c>
      <c r="M10">
        <v>20</v>
      </c>
      <c r="N10" s="4">
        <v>10.386666666666599</v>
      </c>
      <c r="O10" s="2">
        <v>0.51933333333333298</v>
      </c>
      <c r="P10">
        <v>42883</v>
      </c>
      <c r="Q10">
        <v>3720</v>
      </c>
      <c r="R10">
        <v>268082</v>
      </c>
      <c r="S10" s="2" t="s">
        <v>37</v>
      </c>
      <c r="T10" s="2" t="s">
        <v>38</v>
      </c>
      <c r="U10">
        <v>6</v>
      </c>
      <c r="V10" s="2" t="s">
        <v>43</v>
      </c>
      <c r="W10" s="2">
        <v>5.6300000000000002E-4</v>
      </c>
      <c r="X10">
        <v>1</v>
      </c>
      <c r="Y10" s="2" t="s">
        <v>40</v>
      </c>
      <c r="Z10" s="2" t="s">
        <v>41</v>
      </c>
    </row>
    <row r="11" spans="1:26" x14ac:dyDescent="0.25">
      <c r="A11" s="1">
        <v>45352.351712962962</v>
      </c>
      <c r="B11" t="s">
        <v>42</v>
      </c>
      <c r="C11" t="s">
        <v>51</v>
      </c>
      <c r="D11" s="3">
        <v>0.99271401191710196</v>
      </c>
      <c r="E11" s="3">
        <v>0.992642574595341</v>
      </c>
      <c r="F11" s="3">
        <v>0.51396165937249505</v>
      </c>
      <c r="G11" s="3">
        <v>0.90790693693565105</v>
      </c>
      <c r="H11" s="3">
        <v>0.90429975429975396</v>
      </c>
      <c r="I11" s="3">
        <v>0.66036351077148903</v>
      </c>
      <c r="J11" s="3">
        <v>0.33333333333333298</v>
      </c>
      <c r="K11" s="3">
        <v>1.86329606190094E-2</v>
      </c>
      <c r="L11" s="3">
        <v>2.1059119086919102E-2</v>
      </c>
      <c r="M11">
        <v>24</v>
      </c>
      <c r="N11" t="s">
        <v>52</v>
      </c>
      <c r="O11" t="s">
        <v>53</v>
      </c>
      <c r="P11">
        <v>42883</v>
      </c>
      <c r="Q11">
        <v>7440</v>
      </c>
      <c r="R11">
        <v>536193</v>
      </c>
      <c r="S11" t="s">
        <v>37</v>
      </c>
      <c r="T11" t="s">
        <v>38</v>
      </c>
      <c r="U11">
        <v>6</v>
      </c>
      <c r="V11" t="s">
        <v>43</v>
      </c>
      <c r="W11" t="s">
        <v>54</v>
      </c>
      <c r="X11">
        <v>1</v>
      </c>
      <c r="Y11" t="s">
        <v>40</v>
      </c>
      <c r="Z11" t="s">
        <v>41</v>
      </c>
    </row>
    <row r="12" spans="1:26" x14ac:dyDescent="0.25">
      <c r="A12" s="1">
        <v>45352.429456018515</v>
      </c>
      <c r="B12" t="s">
        <v>42</v>
      </c>
      <c r="C12" t="s">
        <v>55</v>
      </c>
      <c r="D12" s="3">
        <v>0.99429081337256797</v>
      </c>
      <c r="E12" s="3">
        <v>0.99350451199904499</v>
      </c>
      <c r="F12" s="3">
        <v>0.49787338963200301</v>
      </c>
      <c r="G12" s="3">
        <v>0.92501034192545195</v>
      </c>
      <c r="H12" s="3">
        <v>0.88826781326781301</v>
      </c>
      <c r="I12" s="3">
        <v>0.63896444041502898</v>
      </c>
      <c r="J12" s="3">
        <v>0.33333333333333298</v>
      </c>
      <c r="K12" s="3">
        <v>1.5106392502874801E-2</v>
      </c>
      <c r="L12" s="3">
        <v>1.7863407007763201E-2</v>
      </c>
      <c r="M12">
        <v>14</v>
      </c>
      <c r="N12" t="s">
        <v>56</v>
      </c>
      <c r="O12" t="s">
        <v>57</v>
      </c>
      <c r="P12">
        <v>42883</v>
      </c>
      <c r="Q12">
        <v>18600</v>
      </c>
      <c r="R12">
        <v>1340315</v>
      </c>
      <c r="S12" t="s">
        <v>37</v>
      </c>
      <c r="T12" t="s">
        <v>38</v>
      </c>
      <c r="U12">
        <v>6</v>
      </c>
      <c r="V12" t="s">
        <v>43</v>
      </c>
      <c r="W12" t="s">
        <v>54</v>
      </c>
      <c r="X12">
        <v>1</v>
      </c>
      <c r="Y12" t="s">
        <v>40</v>
      </c>
      <c r="Z12" t="s">
        <v>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2382DB-B180-41DC-BAF2-28E81014F6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protac_splitter_results (2)</vt:lpstr>
      <vt:lpstr>Sheet1</vt:lpstr>
      <vt:lpstr>protac_splitter_results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Källberg, Anders (Randstad)</dc:creator>
  <cp:lastModifiedBy>Källberg, Anders (Randstad)</cp:lastModifiedBy>
  <dcterms:created xsi:type="dcterms:W3CDTF">2024-02-29T09:49:00Z</dcterms:created>
  <dcterms:modified xsi:type="dcterms:W3CDTF">2024-03-01T10:35:27Z</dcterms:modified>
</cp:coreProperties>
</file>